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myharrisburgu-my.sharepoint.com/personal/rrahate_my_harrisburgu_edu/Documents/HU Studies_1/ANLY 699/Project/Final Test/"/>
    </mc:Choice>
  </mc:AlternateContent>
  <xr:revisionPtr revIDLastSave="223" documentId="8_{FC8F5582-91FD-4F35-9977-76ED323079D9}" xr6:coauthVersionLast="47" xr6:coauthVersionMax="47" xr10:uidLastSave="{C1703BC5-D17A-4BD6-B4C2-038F925C2599}"/>
  <bookViews>
    <workbookView xWindow="-108" yWindow="-108" windowWidth="23256" windowHeight="13896" xr2:uid="{DFB8B363-A65B-467F-B1AB-794E24A985B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 i="1" l="1"/>
  <c r="M12" i="1"/>
  <c r="N12" i="1"/>
</calcChain>
</file>

<file path=xl/sharedStrings.xml><?xml version="1.0" encoding="utf-8"?>
<sst xmlns="http://schemas.openxmlformats.org/spreadsheetml/2006/main" count="140" uniqueCount="123">
  <si>
    <t>Section 15</t>
  </si>
  <si>
    <t>Section 15, Section 16.2</t>
  </si>
  <si>
    <t>Section 15, Section 16.2, Section 16.4</t>
  </si>
  <si>
    <t>Section 15, Section 16.3 and 16.4  if re-characterization needed</t>
  </si>
  <si>
    <t>Mapped Sections: Section 15
Decision Logic: Status indicates the signal is still under evaluation. According to ICH E2C(R2), ongoing signals are only listed in Section 15.
{
  "signal": "Stroke",
  "scenario": "Ongoing Signal",
  "mapped_sections": ["Section 15"],
  "categorization_summary": "Signal is categorized as ongoing, as indicated by the 'Ongoing' status.",
  "decision_logic": "According to ICH E2C(R2) guidelines, ongoing signals are only listed in Section 15."</t>
  </si>
  <si>
    <t>Mapped Sections: Section 15, Section 16.2
Decision Logic: Status indicates the signal is no longer under evaluation. According to ICH E2C(R2), a Refuted signal is categorized as both Ongoing (Section 15) and Closed + Refuted (Section 16.2).
{
  "signal": "SJS",
  "scenario": "Closed + Refuted",
  "mapped_sections": ["Section 15", "Section 16.2"],
  "categorization_summary": "The signal is no longer under evaluation due to a Refuted status, indicating no causal association.",
  "decision_logic": "The Refuted status, combined with the lack of causal association, leads to categorization as both Ongoing and Closed + Refuted."</t>
  </si>
  <si>
    <t>Mapped Sections: Section 15, Section 16.2
Decision Logic: Status indicates the signal is closed and categorized as Potential Risk (Not Important), according to ICH E2C(R2), and is therefore listed in Section 15. The signal is also refuted as per Section 16.2.
{
  "signal": "Myocarditis",
  "scenario": "Closed → Potential Risk (NOT important)",
  "mapped_sections": ["Section 15", "Section 16.2"],
  "categorization_summary": "The signal is categorized as Potential Risk (Not Important) and is therefore listed in Section 15 and Section 16.2.",
  "decision_logic": "The signal is closed and categorized as Potential Risk (Not Important), according to ICH E2C(R2), and is therefore listed in Section 15. The signal is also refuted as per Section 16.2."</t>
  </si>
  <si>
    <t>Mapped Sections: Section 15, Section 16.2, Section 16.4
Decision Logic: Status indicates the signal is closed but still considered important and potential risk, according to ICH E2C(R2), it is categorized under Section 15 for ongoing signals and Section 16.2 for signals with potential risk and Section 16.4 for signals with important potential risk.
{
  "signal": "QT prolongation",
  "scenario": "Closed → Potential Risk (IMPORTANT)",
  "mapped_sections": ["Section 15", "Section 16.2", "Section 16.4"],
  "categorization_summary": "Signal is closed but considered important and potential risk.",
  "decision_logic": "Status indicates the signal is closed but still considered important and potential risk, according to ICH E2C(R2)."</t>
  </si>
  <si>
    <t>Mapped Sections: Section 15, Section 16.2
Decision Logic: Status indicates the signal is identified but not important. According to ICH E2C(R2), signals identified but not important are listed in Section 15 and Section 16.2.
{
  "signal": "Pancreatitis",
  "scenario": "Closed → Identified Risk (NOT important)",
  "mapped_sections": ["Section 15", "Section 16.2"],
  "categorization_summary": "The signal is identified but not considered important according to the dataset.",
  "decision_logic": "The status 'Closed as Identified Risk (Not Important)' directly maps to the specified scenario, adhering strictly to the given dataset and ICH E2C(R2 guidelines."</t>
  </si>
  <si>
    <t>Mapped Sections: Section 15, Section 16.2, Section 16.4
Decision Logic: Status indicates the signal is confirmed and important. According to ICH E2C(R2), closed signals with identified risk are categorized as Section 15 for the risk, Section 16.2 for the risk minimization action, and Section 16.4 for the importance level.</t>
  </si>
  <si>
    <t>Mapped Sections: Section 15, Section 16.3
Decision Logic: Status indicates the signal is no longer under evaluation, but new information has been observed on an identified risk. According to ICH E2C(R2), this falls under Section 16.3.
{
  "signal": "Hepatotoxicity",
  "scenario": "Closed → New Information on Known Risk",
  "mapped_sections": ["Section 15", "Section 16.3"],
  "categorization_summary": "Signal is closed due to new information on an already identified risk.",
  "decision_logic": "Full reasoning using rule-based logic; new information on known risk indicates the need for further investigation."</t>
  </si>
  <si>
    <t>Mapped Sections: Section 15
Decision Logic: Status indicates the signal is still under evaluation. According to ICH E2C(R2), ongoing signals are only listed in Section 15.
{
  "signal": "Anaphylaxis",
  "scenario": "1. Ongoing Signal",
  "mapped_sections": ["Section 15"],
  "categorization_summary": "The signal is classified as ongoing, as indicated by its status, and is only listed in Section 15 according to ICH E2C(R2) guidelines.",
  "decision_logic": "The signal's status is 'Ongoing', which directly maps to Section 15 according to the ICH E2C(R2) guideline for ongoing signals."</t>
  </si>
  <si>
    <t>Mapped Sections: Section 15, Section 16.2
Decision Logic: Status indicates the signal is no longer under evaluation. According to ICH E2C(R2), a signal that is Refuted is listed in both Section 15 and Section 16.2.
{
  "signal": "VTE",
  "scenario": "Closed + Refuted",
  "mapped_sections": ["Section 15", "Section 16.2"],
  "categorization_summary": "The signal has been closed and refuted, indicating it is no longer under evaluation.",
  "decision_logic": "Refuted status indicates the signal is no longer under evaluation, and it is listed in both Section 15 and Section 16.2 according to ICH E2C(R2) guidelines."</t>
  </si>
  <si>
    <t>Mapped Sections: Section 15, Section 16.2, Section 16.4
Decision Logic: Status indicates the signal is identified as an important risk. According to ICH E2C(R2), this aligns with the criteria for Section 16.4, which requires monitoring. The signal is also identified as a risk, meeting the criteria for Section 16.2. 
{
  "signal": "Liver failure",
  "scenario": "Closed → Identified Risk (IMPORTANT)",
  "mapped_sections": ["Section 15", "Section 16.2", "Section 16.4"],
  "categorization_summary": "The signal is identified as an important risk requiring monitoring.",
  "decision_logic": "The signal's status indicates it is an important identified risk, meeting the criteria for Section 16.4, and is also identified as a risk, meeting the criteria for Section 16.2."</t>
  </si>
  <si>
    <t>GEMMA</t>
  </si>
  <si>
    <t>Mapped Sections: Section 15
Decision Logic: Status indicates the signal is still under evaluation. According to ICH E2C(R2), ongoing signals are only listed in Section 15.
**JSON output:**
{
  "signal": "Stroke",
  "scenario": "Ongoing Signal",
  "mapped_sections": ["Section 15"],
  "categorization_summary": "Signal still under assessment. Ongoing signals are listed in Section 15.",
  "decision_logic": "Status indicates ongoing signal. According to ICH E2C(R2), ongoing signals are listed in Section 15."
}</t>
  </si>
  <si>
    <t>Mapped Sections: Section 15, Section 16.2
Decision Logic: Refuted signal with no causal association. According to ICH E2C(R2), refuted signals are listed in Section 15 and Section 16.2.
**JSON output:**
```json
{
  "signal": "SJS",
  "scenario": "Closed + Refuted",
  "mapped_sections": ["Section 15", "Section 16.2"],
  "categorization_summary": "No causal association found. Therefore, signal is closed and listed in Section 15 and Section 16.2.",
  "decision_logic": "Signal is Refuted and therefore listed in Section 15 and Section 16.2 according to rule logic. No additional sections are applicable."
}
```
**Please note:** This is a test case and the input data may vary. The output will be generated based on the specific data provided in the input row.</t>
  </si>
  <si>
    <t>Mapped Sections: Section 15 + Section 16.2
Decision Logic: Signal is closed as potential risk (not important) according to rule logic.
**JSON output:**
{
  "signal": "Myocarditis",
  "scenario": "Closed → Potential Risk (NOT important)",
  "mapped_sections": ["Section 15", "Section 16.2"],
  "categorization_summary": "Evidence suggests possible risk but low impact. According to rule logic, this signal is closed as potential risk (not important) and therefore mapped to Section 15 and Section 16.2.",
  "decision_logic": "The signal is closed as potential risk (not important) based on the rule logic. The summary suggests possible risk but low impact. Therefore, according to the mapping logic, the signal is mapped to Section 15 and Section 16.2."
}</t>
  </si>
  <si>
    <t>Mapped Sections: Section 15, Section 16.2, Section 16.4
Decision Logic: Signal is closed as potential risk (important) according to ICH E2C(R2) guidelines. Ongoing signals are listed in Section 15, while closed signals with potential/identified risks are listed in Sections 16.2 and 16.4.
**JSON Output:**
{
  "signal": "QT prolongation",
  "scenario": "Closed → Potential Risk (IMPORTANT)",
  "mapped_sections": ["Section 15", "Section 16.2", "Section 16.4"],
  "categorization_summary": "Signal indicates important potential risk. Refer to dataset information for details.",
  "decision_logic": "According to ICH E2C(R2) guidelines, signal is closed as potential risk (important). Ongoing signals are listed in Section 15, while closed signals with potential/identified risks are listed in Sections 16.2 and 16.4."
}</t>
  </si>
  <si>
    <t>Mapped Sections: Section 15 + Section 16.2
Decision Logic: Status indicates the signal is closed as identified risk (not important) and therefore listed in Section 15 and Section 16.2.
**JSON output:**
{
  "signal": "Pancreatitis",
  "scenario": "Closed → Identified Risk (NOT important)",
  "mapped_sections": ["Section 15", "Section 16.2"],
  "categorization_summary": "Identified risk confirmed but not important. Summary is limited to the information available in the dataset.",
  "decision_logic": "The signal is closed as identified risk (not important) according to the rule table. Therefore, it is listed in Section 15 and Section 16.2."
}</t>
  </si>
  <si>
    <t>Mapped Sections: Section 15, Section 16.2, Section 16.4
Decision Logic: Status indicates the signal is closed as identified risk (important). According to ICH E2C(R2), signals closed as identified risk (important) are listed in Section 15, Section 16.2 and Section 16.4.
**JSON output:**
```json
{
  "signal": "Acute renal failure",
  "scenario": "Closed → Identified Risk (IMPORTANT)",
  "mapped_sections": ["Section 15", "Section 16.2", "Section 16.4"],
  "categorization_summary": "Identified risk confirmed and important. According to the dataset information, this signal meets the criteria for Section 15, Section 16.2 and Section 16.4.",
  "decision_logic": "Based on the rule-based logic, the signal is categorized as closed as identified risk (important). This is because the status is closed, the signal is identified risk, and it is important. According to ICH E2C(R2), signals closed as identified risk (important) are listed in Section 15, Section 16.2 and Section 16.4."
}
```
Please provide the mapped sections and decision logic for the provided input signal data.</t>
  </si>
  <si>
    <t>Mapped Sections: Section 15
Decision Logic: Status indicates the signal is closed as new information for identified risk. According to ICH E2C(R2), new information on known risks is listed in Section 15.
**JSON output:**
{
  "signal": "Hepatotoxicity",
  "scenario": "Closed → New Information on Known Risk",
  "mapped_sections": ["Section 15"],
  "categorization_summary": "New information observed on a known risk. Further investigation is required.",
  "decision_logic": "The signal is closed as new information for identified risk according to rule-based logic. New information on known risks is listed in Section 15."
}</t>
  </si>
  <si>
    <t>Signal term</t>
  </si>
  <si>
    <t>Stroke</t>
  </si>
  <si>
    <t>SJS</t>
  </si>
  <si>
    <t>Myocarditis</t>
  </si>
  <si>
    <t>QT prolongation</t>
  </si>
  <si>
    <t>Pancreatitis</t>
  </si>
  <si>
    <t>Acute renal failure</t>
  </si>
  <si>
    <t>Hepatotoxicity</t>
  </si>
  <si>
    <t>Anaphylaxis</t>
  </si>
  <si>
    <t>VTE</t>
  </si>
  <si>
    <t>Liver failure</t>
  </si>
  <si>
    <t>Mapped Sections: Section 15
Decision Logic: Status indicates the signal is still under evaluation. According to ICH E2C(R2), ongoing signals are only listed in Section 15.
**JSON output:**
{
  "signal": "Anaphylaxis",
  "scenario": "Ongoing Signal",
  "mapped_sections": ["Section 15"],
  "categorization_summary": "Signal is ongoing and being monitored. No further action required at this time.",
  "decision_logic": "Signal is ongoing and therefore mapped to Section 15 only according to the ICH E2C(R2) guidelines."
}</t>
  </si>
  <si>
    <t>Mapped Sections: Section 15, Section 16.2
Decision Logic: Signal is Refuted and closed. According to ICH E2C(R2), Refuted signals are listed in Section 15 and Section 16.2.
**JSON Output:**
```json
{
  "signal": "VTE",
  "scenario": "Closed + Refuted",
  "mapped_sections": ["Section 15", "Section 16.2"],
  "categorization_summary": "Refuted signal upon evaluation.",
  "decision_logic": "Signal is Refuted and closed. According to ICH E2C(R2), Refuted signals are listed in Section 15 and Section 16.2."
}
```</t>
  </si>
  <si>
    <t>Mapped Sections: Section 15, Section 16.2, Section 16.4
Decision Logic: The signal is closed as an important identified risk. According to ICH E2C(R2), signals that are closed as important identified risk are listed in Sections 15, 16.2, and 16.4.
**JSON output:**
{
  "signal": "Liver failure",
  "scenario": "Closed → Identified Risk (IMPORTANT)",
  "mapped_sections": ["Section 15", "Section 16.2", "Section 16.4"],
  "categorization_summary": "Important identified risk requiring monitoring. The signal is closed as an important identified risk and therefore listed in Sections 15, 16.2, and 16.4.",
  "decision_logic": "The signal is closed as an important identified risk. According to ICH E2C(R2), signals that are closed as important identified risk are listed in Sections 15, 16.2, and 16.4."
}</t>
  </si>
  <si>
    <t>DeepSeek</t>
  </si>
  <si>
    <t>&lt;think&gt;
Okay, let me process this safety signal according to the rules and guidelines. The signal term is clearly "Stroke", and the dataset explicitly indicates "Status: Ongoing". Since "Date closed: nan" suggests no closure and the summary states the signal is "still under assessment", I can categorize this as an ongoing signal without needing to infer anything else.
For the JSON output, the scenario matching rule is straightforward - an ongoing signal maps to scenario 1. The mapped sections requirement also specifies Section 15 only. The dataset doesn't provide information about refutation, importance, or any other scenario details, so I must strictly adhere to what's given. The classification summary should reflect the ongoing assessment stated in the dataset.
Looking at the status clarification rule, since "Ongoing" is explicitly mentioned, there's no ambiguity. The decision logic must reference only the dataset's "Status: Ongoing" and corresponding rule "1. Ongoing Signal → Section 15 only." 
I need to ensure my response doesn't include any medical judgment or causality assessment, and sticks exactly to the provided data. The two-line output format requires listing the sections first, then providing a concise explanation. Since this is an ongoing signal with no additional classifications, the sections remain just Section 15.
&lt;/think&gt;
Mapped Sections: Section 15
Decision Logic: Status indicates the signal is still under evaluation. According to ICH E2C(R2), ongoing signals are only listed</t>
  </si>
  <si>
    <t>&lt;think&gt;
Okay, let's tackle this pharmacovigilance mapping problem step by step. The user provided a dataset row about a Signal: SJS with specific information that I need to analyze according to ICH E2C(R2) guidelines without any medical inference.
First, examining the key elements in the row: signal term is SJS, detected date June 25, status is Refuted, date closed is August 25, source is case reports, summary says "Evaluation shows no causal association", and no specific action is mentioned. 
Now applying the mapping rules. Scenario 2 explicitly matches "Closed + Refuted" which fits perfectly here since the signal was closed on August 25 and its status is Refuted. The JSON output requires selecting "Closed + Refuted" as the scenario. 
For mapped sections, rule states this scenario requires both Section 15 and Section 16.2. Section 15 covers emerging safety data, while Section 16.2 addresses assessment of causality. 
The decision logic should reference only the given data: the refuted status and closure date. No need to infer any medical judgment or causality beyond what's explicitly stated. 
The classification summary must be concise and use only information from the row. Since the evaluation confirms no causal association and the signal is refuted, the summary reflects that determination. 
Looking at the final PBRER section, Section 15 is included because it's</t>
  </si>
  <si>
    <t>&lt;think&gt;
Okay, let me process this safety signal mapping request carefully. The user has provided very specific rules about categorizing signals based on ICH E2C(R2) guidelines, so I need to stick to those exactly without inferring anything beyond the input.
The input is: Signal: Myocarditis, Date detected: Apr-25, Status: Closed as Potential Risk (Not Important), Date closed: 10-Jul, Source: Registry, Summary: Evidence suggests possible risk but low impact, Action: Monitor.
First, I check the seven scenarios. The status clearly matches Scenario 3: "Closed → Potential Risk (NOT important)". According to the mapping rules, this corresponds to Sections 15 and 16.2. 
Looking at the summary, it says "evidence suggests possible risk but low impact" - that directly tells me it's a potential risk with "not important" classification. No medical inference needed here since the input explicitly states that. 
When considering the action "Monitor", I recall that Scenario 3 doesn't require mentioning monitoring in the output sections, maintaining consistency with the rule table. 
The user seems to be testing strict adherence to guidelines, possibly for training purposes. The JSON format requirement suggests they might need structured data for further processing. I'll make sure both outputs are precise and match exactly.
For the two-line output, I'll list the mapped sections first: Section 15 and Section 16.2. Then</t>
  </si>
  <si>
    <t>&lt;think&gt;
Okay, let me process this safety signal carefully. The signal is about QT prolongation, which is a known cardiac risk, and the status is "Closed as Potential Risk (Important)". 
Looking at the mapping rules, this clearly falls under Scenario 4: "Closed → Potential Risk (IMPORTANT)". According to the rule table, that maps to Sections 15, 16.2, and 16.4. 
The dataset doesn't provide any medical details about causality or severity beyond what's stated, so I must stick strictly to the given information. The summary explicitly mentions "important potential risk", which aligns with Scenario 4 and its mapping. 
No need to infer additional medical judgment - the status wordings are clear enough to apply the rule directly. The clinical study source suggests this is based on actual trial data rather than refutation or new information about existing risks. 
For the two-line output, I'll list the three relevant sections and explain the status closure. Then I'll prepare the JSON with all required fields based on the exact mapping rules. This follows the assistant's strict instructions to not hallucinate or add assumptions.
&lt;/think&gt;
Mapped Sections: Section 15, Section 16.2, Section 16.4
Decision Logic: The signal status is 'Closed as Potential Risk (Important)', which according to the rule table corresponds to Scenario 4.
JSON OUTPUT:
{
  "signal": "QT prolongation",</t>
  </si>
  <si>
    <t>&lt;think&gt;
Okay, let me carefully analyze this signal mapping request. The user is clearly defining strict rules for categorization, so I need to stick to the provided scenarios and rules without any medical inference.
The input shows a pancreatitis signal with status "Closed as Identified Risk (Not Important)" and source "Spontaneous Reports". The key phrase here is "Identified Risk (Not Important)", which directly matches scenario 5 from the rule table: Closed → Identified Risk (NOT important).
Looking at the mapping logic, scenario 5 requires Sections 15 and 16.2. The summary states the risk is confirmed but not important, so no need to infer severity or other details. The action mentions routine monitoring, but that doesn't change the categorization since the status is already clear.
The user emphasized not adding assumptions, so I won't consider causality or why the risk isn't important. Just the raw information: risk is identified and marked as not important. This cleanly maps to the predefined scenario without any ambiguity.
Hmm, is "Not Important" capitalized in the dataset? Yes, it says "Not Important" exactly. The rule says to use ONLY the seven scenarios, and this matches scenario 5 precisely. No need to think about other possibilities. 
The JSON output should reflect this directly: signal term as "Pancreatitis", scenario as "Closed → Identified Risk (NOT important)", mapped sections as ["Section 15", "Section 16.2</t>
  </si>
  <si>
    <t>&lt;think&gt;
Okay, let me process this safety signal according to the strict guidelines. The user provided a clear row with all necessary details, and I need to map it without any medical inference.
First, examining the status: "Closed as Identified Risk (Important)". This explicitly matches scenario 4: Closed → Identified Risk (IMPORTANT). No need to infer or question the wording.
The mapped sections for this scenario are clearly defined: Section 15 for the ongoing aspect of signal reporting, Section 16.2 for identified risks, and Section 16.4 for important risks. The summary directly states "Identified risk confirmed and important", which aligns perfectly with scenario 4's requirements.
The JSON output must include the signal term, scenario identification, and the three sections. The decision logic should reference only the given dataset - yes, the summary confirms this is an important identified risk.
Considering the user's needs, they're likely testing pharmacovigilance knowledge with precise ICH E2C guidelines. The strict rules suggest they want verification of rule-based adherence, possibly for training or quality assurance purposes. The clear categorization here demonstrates proper understanding of the guidelines' section mappings.
The response stays strictly within the provided information without adding any clinical interpretation or assumptions, following the rules perfectly. The JSON format with all required fields ensures comprehensive documentation of the categorization process.
&lt;/think&gt;
Mapped Sections: Section 15, Section 16.2, Section 16.4</t>
  </si>
  <si>
    <t>&lt;think&gt;
Okay, let's tackle this. The user provided a signal about Hepatotoxicity with specific details. First, I need to recall the ICH E2C(R2) guidelines and the seven scenarios given.
The signal's status is "Closed as New Information for identified risk". The action taken is "Further investigation". The summary says "New information observed on a known risk". Now, mapping this to the scenarios. Scenario 7 is "Closed → New Information on Known Risk". According to the mapping rule for Scenario 7, the sections are Section 15 and Section 16.3.
Wait, but the input also mentions the date closed is "nan". That might be a problem because "nan" usually means missing data. But the rule says if the status is unclear, categorize as Ongoing or Refuted. However, the status here is explicitly "Closed as New Information for identified risk". Even though the date is missing, the status is clear. So I shouldn't be confused by "nan". The action is "Further investigation", which in Scenario 7 suggests that the existing risk is being updated. Therefore, the correct sections are Section 15 and Section 16.3.
Now, for the two-line output: "Mapped Sections: Section 15, Section 16.3" and the Decision Logic explaining why. Also, the JSON needs to include the scenario as Scenario 7 and the mapped sections accordingly. The</t>
  </si>
  <si>
    <t>&lt;think&gt;
Okay, let's tackle this carefully. The user provided a safety signal dataset row with the following information: Signal term is Anaphylaxis, date detected is Feb-25, status is Ongoing, date closed is nan (likely indicating no closure), source is Hospital Data, and summary says "Still being monitored". 
Looking at the mapping scenarios, this fits scenario 1: Ongoing Signal because status is explicitly "Ongoing" and date closed is missing/invalid. According to the rules, I should not infer anything beyond what's stated - no need to go into medical judgment about causality or risk importance. 
The PBRER section mapping is straightforward per the guidelines: ongoing signals go to Section 15 only. The source being hospital data doesn't change the categorization since the rules don't mention source-specific considerations. 
For the JSON output, the scenario should be "Ongoing Signal", mapped sections are ["Section 15"], and the classification summary is "Anaphylaxis signal is ongoing based on provided status." No need to mention other sections since it's not closed or refuted.
The two-line output should clearly state the mapped sections and the decision logic referencing only the dataset. I'll keep it simple: mention that the ongoing status leads to Section 15 only. No assumptions or medical interpretations are required here.
&lt;/think&gt;
Mapped Sections: Section 15
Decision Logic: The status of the signal is explicitly stated as "O</t>
  </si>
  <si>
    <t>&lt;think&gt;
Okay, let's tackle this query step by step. The user provided a safety signal dataset row about a VTE (Venous Thromboembolism) signal and asked for mapping according to ICH E2C(R2) guidelines. 
First, I need to focus only on the given data without inferring anything beyond it. The key elements here are: Signal term is VTE, Status is explicitly "Refuted", and Action is "nan" (which likely means no specific action mentioned). 
Looking at the seven scenarios, "Closed + Refuted" fits perfectly because the status is clearly "Refuted" and there's no indication of ongoing evaluation or new information. The date closed suggests it's resolved. 
According to the mapping rules, a Closed + Refuted signal goes to Section 15 and 16.2. The user emphasized strict adherence to guidelines, so I won't consider potential risks or causality assessments. 
The JSON output will mirror the two-line response with "signal", "scenario", "mapped_sections", "categorization_summary", and "decision_logic". The summary should directly quote the dataset's wording about the signal being refuted. 
The dataset explicitly states "Refuted signal upon evaluation", so no need to infer importance or severity. The action being "nan" means no specific measures are documented, so Section 16.2 is appropriate for including the source and summary. 
This seems straightforward based on the</t>
  </si>
  <si>
    <t>&lt;think&gt;
Okay, let's tackle this pharmacovigilance mapping task. The user wants me to analyze a safety signal according to ICH E2C(R2) guidelines and map it to the correct PBRER sections without inferring anything beyond the provided data.
The input row shows:
- Signal term: Liver failure
- Status: "Closed as Important Identified Risk"
Looking at the scenario mapping rules:
- Status "Closed as Important Identified Risk" directly matches Scenario 4: Closed → Potential Risk (IMPORTANT)
For Scenario 4, the correct mappings are Section 15 + Section 16.2 + Section 16.4. I don't need to infer causality or risk severity beyond what's stated - the dataset explicitly labels it as "Important Identified Risk".
The summary says "Important identified risk requiring monitoring" and the action is "Risk minimization". These align with Scenario 4. The date detected and date closed are provided but don't affect the categorization since we're only concerned with the status.
The user seems to be testing precise adherence to guidelines, probably in a training context or real pharmacovigilance work. They've been very clear about restrictions, so I must be careful not to go beyond the given information.
Considering the JSON output:
- signal: "Liver failure"
- scenario: "Closed → Potential Risk (IMPORTANT)"
- mapped_sections: ["Section 15", "Section 16.2", "Section</t>
  </si>
  <si>
    <t>0%, thinking in right way but, no results provided, only thinking is provided 0%</t>
  </si>
  <si>
    <t>0%, thinking in right way but, no results provided, only thinking is provided</t>
  </si>
  <si>
    <t>0% 
thinking in right way but, no results provided, only thinking is provided</t>
  </si>
  <si>
    <t>Deepseek Evaluation score</t>
  </si>
  <si>
    <t>GEMMA Evaluation score</t>
  </si>
  <si>
    <t>LLAMA Evaluation score</t>
  </si>
  <si>
    <t>50%, correct , provided iits own thinking, but not logic the way asked in short</t>
  </si>
  <si>
    <t>Date detected</t>
  </si>
  <si>
    <t>Status</t>
  </si>
  <si>
    <t>Date closed</t>
  </si>
  <si>
    <t>Source of signal</t>
  </si>
  <si>
    <t>Summary</t>
  </si>
  <si>
    <t>Action</t>
  </si>
  <si>
    <t>May-25</t>
  </si>
  <si>
    <t>Ongoing</t>
  </si>
  <si>
    <t>Meta-analysis</t>
  </si>
  <si>
    <t>Signal still under assessment</t>
  </si>
  <si>
    <t>Pending</t>
  </si>
  <si>
    <t>Mapped Sections: Section 15; Status indicates an ongoing signal; per ICH E2C(R2), ongoing signals are listed only in Section 15.</t>
  </si>
  <si>
    <t>Jun-25</t>
  </si>
  <si>
    <t>Refuted</t>
  </si>
  <si>
    <t>25-Aug</t>
  </si>
  <si>
    <t>Case reports</t>
  </si>
  <si>
    <t>Evaluation shows no causal association</t>
  </si>
  <si>
    <t>None</t>
  </si>
  <si>
    <t>Mapped Sections: Section 15, Section 16.2; Status indicates the signal was refuted; closed and refuted signals are listed in Section 15 and evaluated in Section 16.2.</t>
  </si>
  <si>
    <t>Apr-25</t>
  </si>
  <si>
    <t>Closed as Potential Risk (Not Important)</t>
  </si>
  <si>
    <t>10-Jul</t>
  </si>
  <si>
    <t>Registry</t>
  </si>
  <si>
    <t>Evidence suggests possible risk but low impact</t>
  </si>
  <si>
    <t>Monitor</t>
  </si>
  <si>
    <t>Mapped Sections: Section 15, Section 16.2; Closed signal categorized as a non‑important potential risk; such signals go to Section 15 and Section 16.2.</t>
  </si>
  <si>
    <t>Sep-24</t>
  </si>
  <si>
    <t>Closed as Potential Risk (Important)</t>
  </si>
  <si>
    <t>12-Oct</t>
  </si>
  <si>
    <t>Clinical Study</t>
  </si>
  <si>
    <t>Signal indicates important potential risk</t>
  </si>
  <si>
    <t>Label update</t>
  </si>
  <si>
    <t>Mapped Sections: Section 15, Section 16.2, Section 16.4; Closed signal categorized as an important potential risk; included in Sections 15, 16.2, and 16.4.</t>
  </si>
  <si>
    <t>Mar-25</t>
  </si>
  <si>
    <t>Closed as Identified Risk (Not Important)</t>
  </si>
  <si>
    <t>09-Sep</t>
  </si>
  <si>
    <t>Spontaneous Reports</t>
  </si>
  <si>
    <t>Identified risk confirmed but not important</t>
  </si>
  <si>
    <t>Routine monitoring</t>
  </si>
  <si>
    <t xml:space="preserve"> Mapped Sections:Section 15, Section 16.2; Closed signal categorized as a non‑important identified risk; mapped to Sections 15 and 16.2.</t>
  </si>
  <si>
    <t>Nov-24</t>
  </si>
  <si>
    <t>Closed as Identified Risk (Important)</t>
  </si>
  <si>
    <t>15-Aug</t>
  </si>
  <si>
    <t>EHR</t>
  </si>
  <si>
    <t>Identified risk confirmed and important</t>
  </si>
  <si>
    <t>Risk minimization</t>
  </si>
  <si>
    <t>Mapped Sections: Section 15, Section 16.2, Section 16.4; Closed and important identified risk; mapped to Sections 15, 16.2, and 16.4.</t>
  </si>
  <si>
    <t>Jan-25</t>
  </si>
  <si>
    <t>Closed as New Information for identified risk</t>
  </si>
  <si>
    <t>Literature</t>
  </si>
  <si>
    <t>New information observed on a known risk</t>
  </si>
  <si>
    <t>Further investigation</t>
  </si>
  <si>
    <t>Mapped Sections: Section 15, Section 16.3 and 16.4  if re-characterization needed; Closed signal with new information on a known risk; mapped to Sections 15 and 16.3.</t>
  </si>
  <si>
    <t>Feb-25</t>
  </si>
  <si>
    <t>Hospital Data</t>
  </si>
  <si>
    <t>Still being monitored</t>
  </si>
  <si>
    <t>Jun-24</t>
  </si>
  <si>
    <t>Postmarketing</t>
  </si>
  <si>
    <t>Refuted signal upon evaluation</t>
  </si>
  <si>
    <t>Mapped Sections: Section 15, Section 16.2: Status indicates the signal was refuted; closed and refuted signals are listed in Section 15 and evaluated in Section 16.2.</t>
  </si>
  <si>
    <t>Aug-24</t>
  </si>
  <si>
    <t>Closed as Important Identified Risk</t>
  </si>
  <si>
    <t>18-Sep</t>
  </si>
  <si>
    <t>Important identified risk requiring monitoring</t>
  </si>
  <si>
    <t>Mapped Sections: Section 15, Section 16.2, Section 16.4: Closed and important identified risk; mapped to Sections 15, 16.2, and 16.4.</t>
  </si>
  <si>
    <t>Manually Mapped Sections and Logic</t>
  </si>
  <si>
    <t>Gold Standard (Mapped Manually Sections)</t>
  </si>
  <si>
    <t>Total Score</t>
  </si>
  <si>
    <t xml:space="preserve">LLAMA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</si>
</sst>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horizontal="left" vertical="top"/>
    </xf>
    <xf numFmtId="0" fontId="0" fillId="0" borderId="0" xfId="0" applyAlignment="1">
      <alignment horizontal="left" vertical="top" wrapText="1"/>
    </xf>
    <xf numFmtId="9" fontId="0" fillId="0" borderId="0" xfId="0" applyNumberFormat="1" applyAlignment="1">
      <alignment horizontal="left" vertical="top"/>
    </xf>
    <xf numFmtId="9" fontId="0" fillId="0" borderId="0" xfId="0" applyNumberFormat="1" applyAlignment="1">
      <alignment horizontal="left" vertical="top" wrapText="1"/>
    </xf>
    <xf numFmtId="0" fontId="2" fillId="0" borderId="1" xfId="0" applyFont="1" applyBorder="1" applyAlignment="1">
      <alignment horizontal="left" vertical="top"/>
    </xf>
    <xf numFmtId="0" fontId="1" fillId="0" borderId="0" xfId="0" applyFont="1" applyAlignment="1">
      <alignment horizontal="left" vertical="top"/>
    </xf>
    <xf numFmtId="0" fontId="1" fillId="0" borderId="1" xfId="0" applyFont="1" applyBorder="1" applyAlignment="1">
      <alignment horizontal="left" vertical="top"/>
    </xf>
    <xf numFmtId="10"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AD60B-B45C-44C7-AC57-2E7C9A20A7BE}">
  <dimension ref="A1:O12"/>
  <sheetViews>
    <sheetView tabSelected="1" topLeftCell="D3" workbookViewId="0">
      <selection activeCell="L16" sqref="L16"/>
    </sheetView>
  </sheetViews>
  <sheetFormatPr defaultRowHeight="14.4" x14ac:dyDescent="0.3"/>
  <cols>
    <col min="1" max="1" width="8.88671875" style="1"/>
    <col min="2" max="2" width="12.77734375" style="1" bestFit="1" customWidth="1"/>
    <col min="3" max="3" width="36.5546875" style="1" bestFit="1" customWidth="1"/>
    <col min="4" max="4" width="10.77734375" style="1" bestFit="1" customWidth="1"/>
    <col min="5" max="5" width="18.21875" style="1" bestFit="1" customWidth="1"/>
    <col min="6" max="6" width="38.44140625" style="1" bestFit="1" customWidth="1"/>
    <col min="7" max="7" width="17.44140625" style="1" bestFit="1" customWidth="1"/>
    <col min="8" max="14" width="8.88671875" style="1"/>
    <col min="15" max="15" width="14.44140625" style="1" customWidth="1"/>
    <col min="16" max="16384" width="8.88671875" style="1"/>
  </cols>
  <sheetData>
    <row r="1" spans="1:15" s="6" customFormat="1" ht="19.95" customHeight="1" x14ac:dyDescent="0.3">
      <c r="A1" s="5" t="s">
        <v>22</v>
      </c>
      <c r="B1" s="7" t="s">
        <v>54</v>
      </c>
      <c r="C1" s="7" t="s">
        <v>55</v>
      </c>
      <c r="D1" s="7" t="s">
        <v>56</v>
      </c>
      <c r="E1" s="7" t="s">
        <v>57</v>
      </c>
      <c r="F1" s="7" t="s">
        <v>58</v>
      </c>
      <c r="G1" s="7" t="s">
        <v>59</v>
      </c>
      <c r="H1" s="7" t="s">
        <v>119</v>
      </c>
      <c r="I1" s="6" t="s">
        <v>120</v>
      </c>
      <c r="J1" s="6" t="s">
        <v>122</v>
      </c>
      <c r="K1" s="6" t="s">
        <v>52</v>
      </c>
      <c r="L1" s="6" t="s">
        <v>14</v>
      </c>
      <c r="M1" s="6" t="s">
        <v>51</v>
      </c>
      <c r="N1" s="6" t="s">
        <v>36</v>
      </c>
      <c r="O1" s="6" t="s">
        <v>50</v>
      </c>
    </row>
    <row r="2" spans="1:15" ht="19.95" customHeight="1" x14ac:dyDescent="0.3">
      <c r="A2" s="1" t="s">
        <v>23</v>
      </c>
      <c r="B2" s="1" t="s">
        <v>60</v>
      </c>
      <c r="C2" s="1" t="s">
        <v>61</v>
      </c>
      <c r="E2" s="1" t="s">
        <v>62</v>
      </c>
      <c r="F2" s="1" t="s">
        <v>63</v>
      </c>
      <c r="G2" s="1" t="s">
        <v>64</v>
      </c>
      <c r="H2" s="1" t="s">
        <v>65</v>
      </c>
      <c r="I2" s="1" t="s">
        <v>0</v>
      </c>
      <c r="J2" s="2" t="s">
        <v>4</v>
      </c>
      <c r="K2" s="3">
        <v>1</v>
      </c>
      <c r="L2" s="2" t="s">
        <v>15</v>
      </c>
      <c r="M2" s="3">
        <v>1</v>
      </c>
      <c r="N2" s="2" t="s">
        <v>37</v>
      </c>
      <c r="O2" s="3">
        <v>1</v>
      </c>
    </row>
    <row r="3" spans="1:15" ht="19.95" customHeight="1" x14ac:dyDescent="0.3">
      <c r="A3" s="1" t="s">
        <v>24</v>
      </c>
      <c r="B3" s="1" t="s">
        <v>66</v>
      </c>
      <c r="C3" s="1" t="s">
        <v>67</v>
      </c>
      <c r="D3" s="1" t="s">
        <v>68</v>
      </c>
      <c r="E3" s="1" t="s">
        <v>69</v>
      </c>
      <c r="F3" s="1" t="s">
        <v>70</v>
      </c>
      <c r="G3" s="1" t="s">
        <v>71</v>
      </c>
      <c r="H3" s="1" t="s">
        <v>72</v>
      </c>
      <c r="I3" s="1" t="s">
        <v>1</v>
      </c>
      <c r="J3" s="1" t="s">
        <v>5</v>
      </c>
      <c r="K3" s="3">
        <v>1</v>
      </c>
      <c r="L3" s="2" t="s">
        <v>16</v>
      </c>
      <c r="M3" s="3">
        <v>1</v>
      </c>
      <c r="N3" s="1" t="s">
        <v>38</v>
      </c>
      <c r="O3" s="1" t="s">
        <v>47</v>
      </c>
    </row>
    <row r="4" spans="1:15" ht="19.95" customHeight="1" x14ac:dyDescent="0.3">
      <c r="A4" s="1" t="s">
        <v>25</v>
      </c>
      <c r="B4" s="1" t="s">
        <v>73</v>
      </c>
      <c r="C4" s="1" t="s">
        <v>74</v>
      </c>
      <c r="D4" s="1" t="s">
        <v>75</v>
      </c>
      <c r="E4" s="1" t="s">
        <v>76</v>
      </c>
      <c r="F4" s="1" t="s">
        <v>77</v>
      </c>
      <c r="G4" s="1" t="s">
        <v>78</v>
      </c>
      <c r="H4" s="1" t="s">
        <v>79</v>
      </c>
      <c r="I4" s="1" t="s">
        <v>1</v>
      </c>
      <c r="J4" s="1" t="s">
        <v>6</v>
      </c>
      <c r="K4" s="3">
        <v>1</v>
      </c>
      <c r="L4" s="2" t="s">
        <v>17</v>
      </c>
      <c r="M4" s="3">
        <v>1</v>
      </c>
      <c r="N4" s="2" t="s">
        <v>39</v>
      </c>
      <c r="O4" s="1" t="s">
        <v>48</v>
      </c>
    </row>
    <row r="5" spans="1:15" ht="19.95" customHeight="1" x14ac:dyDescent="0.3">
      <c r="A5" s="1" t="s">
        <v>26</v>
      </c>
      <c r="B5" s="1" t="s">
        <v>80</v>
      </c>
      <c r="C5" s="1" t="s">
        <v>81</v>
      </c>
      <c r="D5" s="1" t="s">
        <v>82</v>
      </c>
      <c r="E5" s="1" t="s">
        <v>83</v>
      </c>
      <c r="F5" s="1" t="s">
        <v>84</v>
      </c>
      <c r="G5" s="1" t="s">
        <v>85</v>
      </c>
      <c r="H5" s="1" t="s">
        <v>86</v>
      </c>
      <c r="I5" s="1" t="s">
        <v>2</v>
      </c>
      <c r="J5" s="1" t="s">
        <v>7</v>
      </c>
      <c r="K5" s="3">
        <v>1</v>
      </c>
      <c r="L5" s="2" t="s">
        <v>18</v>
      </c>
      <c r="M5" s="3">
        <v>1</v>
      </c>
      <c r="N5" s="1" t="s">
        <v>40</v>
      </c>
      <c r="O5" s="3">
        <v>1</v>
      </c>
    </row>
    <row r="6" spans="1:15" ht="19.95" customHeight="1" x14ac:dyDescent="0.3">
      <c r="A6" s="1" t="s">
        <v>27</v>
      </c>
      <c r="B6" s="1" t="s">
        <v>87</v>
      </c>
      <c r="C6" s="1" t="s">
        <v>88</v>
      </c>
      <c r="D6" s="1" t="s">
        <v>89</v>
      </c>
      <c r="E6" s="1" t="s">
        <v>90</v>
      </c>
      <c r="F6" s="1" t="s">
        <v>91</v>
      </c>
      <c r="G6" s="1" t="s">
        <v>92</v>
      </c>
      <c r="H6" s="1" t="s">
        <v>93</v>
      </c>
      <c r="I6" s="1" t="s">
        <v>1</v>
      </c>
      <c r="J6" s="1" t="s">
        <v>8</v>
      </c>
      <c r="K6" s="3">
        <v>1</v>
      </c>
      <c r="L6" s="2" t="s">
        <v>19</v>
      </c>
      <c r="M6" s="3">
        <v>1</v>
      </c>
      <c r="N6" s="2" t="s">
        <v>41</v>
      </c>
      <c r="O6" s="1" t="s">
        <v>48</v>
      </c>
    </row>
    <row r="7" spans="1:15" ht="19.95" customHeight="1" x14ac:dyDescent="0.3">
      <c r="A7" s="1" t="s">
        <v>28</v>
      </c>
      <c r="B7" s="1" t="s">
        <v>94</v>
      </c>
      <c r="C7" s="1" t="s">
        <v>95</v>
      </c>
      <c r="D7" s="1" t="s">
        <v>96</v>
      </c>
      <c r="E7" s="1" t="s">
        <v>97</v>
      </c>
      <c r="F7" s="1" t="s">
        <v>98</v>
      </c>
      <c r="G7" s="1" t="s">
        <v>99</v>
      </c>
      <c r="H7" s="1" t="s">
        <v>100</v>
      </c>
      <c r="I7" s="1" t="s">
        <v>2</v>
      </c>
      <c r="J7" s="1" t="s">
        <v>9</v>
      </c>
      <c r="K7" s="3">
        <v>1</v>
      </c>
      <c r="L7" s="2" t="s">
        <v>20</v>
      </c>
      <c r="M7" s="3">
        <v>1</v>
      </c>
      <c r="N7" s="1" t="s">
        <v>42</v>
      </c>
      <c r="O7" s="1" t="s">
        <v>53</v>
      </c>
    </row>
    <row r="8" spans="1:15" ht="19.95" customHeight="1" x14ac:dyDescent="0.3">
      <c r="A8" s="1" t="s">
        <v>29</v>
      </c>
      <c r="B8" s="1" t="s">
        <v>101</v>
      </c>
      <c r="C8" s="1" t="s">
        <v>102</v>
      </c>
      <c r="E8" s="1" t="s">
        <v>103</v>
      </c>
      <c r="F8" s="1" t="s">
        <v>104</v>
      </c>
      <c r="G8" s="1" t="s">
        <v>105</v>
      </c>
      <c r="H8" s="1" t="s">
        <v>106</v>
      </c>
      <c r="I8" s="1" t="s">
        <v>3</v>
      </c>
      <c r="J8" s="2" t="s">
        <v>10</v>
      </c>
      <c r="K8" s="3">
        <v>0.66669999999999996</v>
      </c>
      <c r="L8" s="2" t="s">
        <v>21</v>
      </c>
      <c r="M8" s="8">
        <v>0.33339999999999997</v>
      </c>
      <c r="N8" s="1" t="s">
        <v>43</v>
      </c>
      <c r="O8" s="4" t="s">
        <v>49</v>
      </c>
    </row>
    <row r="9" spans="1:15" ht="19.95" customHeight="1" x14ac:dyDescent="0.3">
      <c r="A9" s="1" t="s">
        <v>30</v>
      </c>
      <c r="B9" s="1" t="s">
        <v>107</v>
      </c>
      <c r="C9" s="1" t="s">
        <v>61</v>
      </c>
      <c r="E9" s="1" t="s">
        <v>108</v>
      </c>
      <c r="F9" s="1" t="s">
        <v>109</v>
      </c>
      <c r="G9" s="1" t="s">
        <v>64</v>
      </c>
      <c r="H9" s="1" t="s">
        <v>65</v>
      </c>
      <c r="I9" s="1" t="s">
        <v>0</v>
      </c>
      <c r="J9" s="1" t="s">
        <v>11</v>
      </c>
      <c r="K9" s="3">
        <v>1</v>
      </c>
      <c r="L9" s="2" t="s">
        <v>33</v>
      </c>
      <c r="M9" s="4">
        <v>1</v>
      </c>
      <c r="N9" s="1" t="s">
        <v>44</v>
      </c>
      <c r="O9" s="3">
        <v>1</v>
      </c>
    </row>
    <row r="10" spans="1:15" ht="19.95" customHeight="1" x14ac:dyDescent="0.3">
      <c r="A10" s="1" t="s">
        <v>31</v>
      </c>
      <c r="B10" s="1" t="s">
        <v>110</v>
      </c>
      <c r="C10" s="1" t="s">
        <v>67</v>
      </c>
      <c r="D10" s="1" t="s">
        <v>75</v>
      </c>
      <c r="E10" s="1" t="s">
        <v>111</v>
      </c>
      <c r="F10" s="1" t="s">
        <v>112</v>
      </c>
      <c r="G10" s="1" t="s">
        <v>71</v>
      </c>
      <c r="H10" s="1" t="s">
        <v>113</v>
      </c>
      <c r="I10" s="1" t="s">
        <v>1</v>
      </c>
      <c r="J10" s="1" t="s">
        <v>12</v>
      </c>
      <c r="K10" s="3">
        <v>1</v>
      </c>
      <c r="L10" s="2" t="s">
        <v>34</v>
      </c>
      <c r="M10" s="4">
        <v>1</v>
      </c>
      <c r="N10" s="1" t="s">
        <v>45</v>
      </c>
      <c r="O10" s="4" t="s">
        <v>49</v>
      </c>
    </row>
    <row r="11" spans="1:15" ht="19.95" customHeight="1" x14ac:dyDescent="0.3">
      <c r="A11" s="1" t="s">
        <v>32</v>
      </c>
      <c r="B11" s="1" t="s">
        <v>114</v>
      </c>
      <c r="C11" s="1" t="s">
        <v>115</v>
      </c>
      <c r="D11" s="1" t="s">
        <v>116</v>
      </c>
      <c r="E11" s="1" t="s">
        <v>97</v>
      </c>
      <c r="F11" s="1" t="s">
        <v>117</v>
      </c>
      <c r="G11" s="1" t="s">
        <v>99</v>
      </c>
      <c r="H11" s="1" t="s">
        <v>118</v>
      </c>
      <c r="I11" s="1" t="s">
        <v>2</v>
      </c>
      <c r="J11" s="2" t="s">
        <v>13</v>
      </c>
      <c r="K11" s="3">
        <v>1</v>
      </c>
      <c r="L11" s="2" t="s">
        <v>35</v>
      </c>
      <c r="M11" s="4">
        <v>1</v>
      </c>
      <c r="N11" s="2" t="s">
        <v>46</v>
      </c>
      <c r="O11" s="4" t="s">
        <v>49</v>
      </c>
    </row>
    <row r="12" spans="1:15" x14ac:dyDescent="0.3">
      <c r="A12" s="6" t="s">
        <v>121</v>
      </c>
      <c r="K12" s="1">
        <f>SUM(K2:K11)/10*100</f>
        <v>96.666999999999987</v>
      </c>
      <c r="M12" s="1">
        <f>SUM(M2:M11)/10*100</f>
        <v>93.334000000000003</v>
      </c>
      <c r="N12" s="1">
        <f t="shared" ref="N12" si="0">SUM(N2:N11)/1000*100</f>
        <v>0</v>
      </c>
      <c r="O12" s="1">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Rutuja Gajanan Rahate</dc:creator>
  <cp:lastModifiedBy>Rutuja Gajanan Rahate</cp:lastModifiedBy>
  <dcterms:created xsi:type="dcterms:W3CDTF">2025-11-29T01:49:35Z</dcterms:created>
  <dcterms:modified xsi:type="dcterms:W3CDTF">2025-12-03T23:31:36Z</dcterms:modified>
</cp:coreProperties>
</file>